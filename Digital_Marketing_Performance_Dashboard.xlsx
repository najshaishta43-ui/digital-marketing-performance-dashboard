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baa\Downloads\"/>
    </mc:Choice>
  </mc:AlternateContent>
  <xr:revisionPtr revIDLastSave="0" documentId="13_ncr:1_{2D3778F9-12E8-4536-B7F3-60C95BC5BDC0}" xr6:coauthVersionLast="47" xr6:coauthVersionMax="47" xr10:uidLastSave="{00000000-0000-0000-0000-000000000000}"/>
  <bookViews>
    <workbookView xWindow="252" yWindow="0" windowWidth="22788" windowHeight="12240" tabRatio="500" xr2:uid="{00000000-000D-0000-FFFF-FFFF00000000}"/>
  </bookViews>
  <sheets>
    <sheet name="Campaign Data" sheetId="1" r:id="rId1"/>
    <sheet name="Important Insight" sheetId="4" r:id="rId2"/>
  </sheets>
  <definedNames>
    <definedName name="_xlnm._FilterDatabase" localSheetId="0" hidden="1">'Campaign Data'!$A$1:$L$37</definedName>
  </definedNames>
  <calcPr calcId="191029" iterateDelta="1E-4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L37" i="1"/>
  <c r="J37" i="1"/>
  <c r="G37" i="1"/>
  <c r="L36" i="1"/>
  <c r="J36" i="1"/>
  <c r="G36" i="1"/>
  <c r="L35" i="1"/>
  <c r="J35" i="1"/>
  <c r="G35" i="1"/>
  <c r="L34" i="1"/>
  <c r="J34" i="1"/>
  <c r="G34" i="1"/>
  <c r="L33" i="1"/>
  <c r="J33" i="1"/>
  <c r="G33" i="1"/>
  <c r="L32" i="1"/>
  <c r="J32" i="1"/>
  <c r="G32" i="1"/>
  <c r="L31" i="1"/>
  <c r="J31" i="1"/>
  <c r="G31" i="1"/>
  <c r="L30" i="1"/>
  <c r="J30" i="1"/>
  <c r="G30" i="1"/>
  <c r="L29" i="1"/>
  <c r="J29" i="1"/>
  <c r="G29" i="1"/>
  <c r="L28" i="1"/>
  <c r="J28" i="1"/>
  <c r="G28" i="1"/>
  <c r="L27" i="1"/>
  <c r="J27" i="1"/>
  <c r="G27" i="1"/>
  <c r="L26" i="1"/>
  <c r="J26" i="1"/>
  <c r="G26" i="1"/>
  <c r="L25" i="1"/>
  <c r="J25" i="1"/>
  <c r="G25" i="1"/>
  <c r="L24" i="1"/>
  <c r="J24" i="1"/>
  <c r="G24" i="1"/>
  <c r="L23" i="1"/>
  <c r="J23" i="1"/>
  <c r="G23" i="1"/>
  <c r="L22" i="1"/>
  <c r="J22" i="1"/>
  <c r="G22" i="1"/>
  <c r="L21" i="1"/>
  <c r="J21" i="1"/>
  <c r="G21" i="1"/>
  <c r="L20" i="1"/>
  <c r="J20" i="1"/>
  <c r="G20" i="1"/>
  <c r="L19" i="1"/>
  <c r="J19" i="1"/>
  <c r="G19" i="1"/>
  <c r="L18" i="1"/>
  <c r="J18" i="1"/>
  <c r="G18" i="1"/>
  <c r="L17" i="1"/>
  <c r="J17" i="1"/>
  <c r="G17" i="1"/>
  <c r="L16" i="1"/>
  <c r="J16" i="1"/>
  <c r="G16" i="1"/>
  <c r="L15" i="1"/>
  <c r="J15" i="1"/>
  <c r="G15" i="1"/>
  <c r="L14" i="1"/>
  <c r="J14" i="1"/>
  <c r="G14" i="1"/>
  <c r="L13" i="1"/>
  <c r="J13" i="1"/>
  <c r="G13" i="1"/>
  <c r="L12" i="1"/>
  <c r="J12" i="1"/>
  <c r="G12" i="1"/>
  <c r="L11" i="1"/>
  <c r="J11" i="1"/>
  <c r="G11" i="1"/>
  <c r="L10" i="1"/>
  <c r="J10" i="1"/>
  <c r="G10" i="1"/>
  <c r="L9" i="1"/>
  <c r="J9" i="1"/>
  <c r="G9" i="1"/>
  <c r="L8" i="1"/>
  <c r="J8" i="1"/>
  <c r="G8" i="1"/>
  <c r="L7" i="1"/>
  <c r="J7" i="1"/>
  <c r="G7" i="1"/>
  <c r="L6" i="1"/>
  <c r="J6" i="1"/>
  <c r="G6" i="1"/>
  <c r="L5" i="1"/>
  <c r="J5" i="1"/>
  <c r="G5" i="1"/>
  <c r="L4" i="1"/>
  <c r="J4" i="1"/>
  <c r="G4" i="1"/>
  <c r="L3" i="1"/>
  <c r="J3" i="1"/>
  <c r="G3" i="1"/>
  <c r="L2" i="1"/>
  <c r="K2" i="1"/>
  <c r="J2" i="1"/>
  <c r="G2" i="1"/>
</calcChain>
</file>

<file path=xl/sharedStrings.xml><?xml version="1.0" encoding="utf-8"?>
<sst xmlns="http://schemas.openxmlformats.org/spreadsheetml/2006/main" count="168" uniqueCount="75">
  <si>
    <t>Date</t>
  </si>
  <si>
    <t>Platform</t>
  </si>
  <si>
    <t>Campaign Name</t>
  </si>
  <si>
    <t>Impressions</t>
  </si>
  <si>
    <t>Reach</t>
  </si>
  <si>
    <t>Clicks</t>
  </si>
  <si>
    <t>CTR (%)</t>
  </si>
  <si>
    <t>Ad Spend (INR)</t>
  </si>
  <si>
    <t>Conversions</t>
  </si>
  <si>
    <t>Conv. Rate (%)</t>
  </si>
  <si>
    <t>CPC (INR)</t>
  </si>
  <si>
    <t>ROI (x)</t>
  </si>
  <si>
    <t>2026-01-21</t>
  </si>
  <si>
    <t>Instagram</t>
  </si>
  <si>
    <t>Reel Awareness Push</t>
  </si>
  <si>
    <t>2026-01-24</t>
  </si>
  <si>
    <t>Influencer Collab Boost</t>
  </si>
  <si>
    <t>2026-01-20</t>
  </si>
  <si>
    <t>Facebook</t>
  </si>
  <si>
    <t>Retargeting - Cart Drop</t>
  </si>
  <si>
    <t>2026-01-07</t>
  </si>
  <si>
    <t>2026-01-26</t>
  </si>
  <si>
    <t>Lead Gen - Carousel</t>
  </si>
  <si>
    <t>2026-01-27</t>
  </si>
  <si>
    <t>Google Ads</t>
  </si>
  <si>
    <t>Display Remarketing</t>
  </si>
  <si>
    <t>2026-01-10</t>
  </si>
  <si>
    <t>Search - Brand Keywords</t>
  </si>
  <si>
    <t>2026-01-06</t>
  </si>
  <si>
    <t>Search - Generic Keywords</t>
  </si>
  <si>
    <t>LinkedIn</t>
  </si>
  <si>
    <t>Sponsored InMail</t>
  </si>
  <si>
    <t>2026-01-30</t>
  </si>
  <si>
    <t>B2B Lead Gen</t>
  </si>
  <si>
    <t>2026-02-23</t>
  </si>
  <si>
    <t>Story Ad - New Launch</t>
  </si>
  <si>
    <t>2026-02-09</t>
  </si>
  <si>
    <t>2026-02-19</t>
  </si>
  <si>
    <t>2026-02-02</t>
  </si>
  <si>
    <t>2026-02-13</t>
  </si>
  <si>
    <t>Brand Awareness Video</t>
  </si>
  <si>
    <t>2026-02-24</t>
  </si>
  <si>
    <t>2026-02-06</t>
  </si>
  <si>
    <t>2026-02-05</t>
  </si>
  <si>
    <t>2026-02-11</t>
  </si>
  <si>
    <t>Thought Leadership Article</t>
  </si>
  <si>
    <t>2026-02-08</t>
  </si>
  <si>
    <t>2026-02-03</t>
  </si>
  <si>
    <t>2026-03-28</t>
  </si>
  <si>
    <t>2026-03-23</t>
  </si>
  <si>
    <t>2026-03-04</t>
  </si>
  <si>
    <t>2026-03-01</t>
  </si>
  <si>
    <t>2026-03-08</t>
  </si>
  <si>
    <t>2026-03-16</t>
  </si>
  <si>
    <t>2026-03-14</t>
  </si>
  <si>
    <t>2026-03-02</t>
  </si>
  <si>
    <t>2026-03-05</t>
  </si>
  <si>
    <t>2026-03-30</t>
  </si>
  <si>
    <t>2026-03-06</t>
  </si>
  <si>
    <t>Sum of Impressions</t>
  </si>
  <si>
    <t>Grand Total</t>
  </si>
  <si>
    <t>Row Labels</t>
  </si>
  <si>
    <t>Sum of Reach</t>
  </si>
  <si>
    <t>Sum of Clicks</t>
  </si>
  <si>
    <t>Sum of Ad Spend (INR)</t>
  </si>
  <si>
    <t>Sum of Conversions</t>
  </si>
  <si>
    <t>Sum of CPC (INR)</t>
  </si>
  <si>
    <t>Overall Marketing Performance</t>
  </si>
  <si>
    <t>Average of ROI (x)</t>
  </si>
  <si>
    <t>PLATFORM WISE PERFOMANCE</t>
  </si>
  <si>
    <t>Sum of CTR (%)</t>
  </si>
  <si>
    <t>Sum of ROI (x)</t>
  </si>
  <si>
    <t>Sum of Conv. Rate (%)</t>
  </si>
  <si>
    <t>PLATFORM EFFICENCY</t>
  </si>
  <si>
    <t xml:space="preserve">TOP 5 CAMPAIGN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</si>
</sst>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0"/>
      <name val="Times New Roman"/>
      <charset val="1"/>
    </font>
    <font>
      <i/>
      <sz val="9"/>
      <color rgb="FF808080"/>
      <name val="Times New Roman"/>
      <charset val="1"/>
    </font>
    <font>
      <b/>
      <sz val="11"/>
      <color rgb="FFFFFFFF"/>
      <name val="Times New Roman"/>
      <family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0" fontId="2" fillId="0" borderId="1" xfId="0" applyNumberFormat="1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5" fillId="3" borderId="0" xfId="0" applyFont="1" applyFill="1"/>
    <xf numFmtId="0" fontId="0" fillId="3" borderId="0" xfId="0" applyFill="1"/>
    <xf numFmtId="164" fontId="0" fillId="3" borderId="0" xfId="0" applyNumberFormat="1" applyFill="1"/>
    <xf numFmtId="10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0" fontId="0" fillId="4" borderId="0" xfId="0" applyNumberFormat="1" applyFill="1"/>
    <xf numFmtId="4" fontId="0" fillId="4" borderId="0" xfId="0" applyNumberFormat="1" applyFill="1"/>
    <xf numFmtId="164" fontId="0" fillId="4" borderId="0" xfId="0" applyNumberFormat="1" applyFill="1"/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13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auto="1"/>
      </font>
    </dxf>
    <dxf>
      <fill>
        <patternFill>
          <bgColor theme="3" tint="0.59996337778862885"/>
        </patternFill>
      </fill>
    </dxf>
    <dxf>
      <fill>
        <patternFill patternType="solid">
          <fgColor auto="1"/>
          <bgColor theme="3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7B7B7"/>
      <rgbColor rgb="FF808080"/>
      <rgbColor rgb="FF9999FF"/>
      <rgbColor rgb="FFC0504D"/>
      <rgbColor rgb="FFF9F9F9"/>
      <rgbColor rgb="FFCCFFFF"/>
      <rgbColor rgb="FF660066"/>
      <rgbColor rgb="FFFF8080"/>
      <rgbColor rgb="FF0077B5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E8871E"/>
      <rgbColor rgb="FFFF6600"/>
      <rgbColor rgb="FF8064A2"/>
      <rgbColor rgb="FF878787"/>
      <rgbColor rgb="FF1F3864"/>
      <rgbColor rgb="FF34A853"/>
      <rgbColor rgb="FF003300"/>
      <rgbColor rgb="FF333300"/>
      <rgbColor rgb="FF993300"/>
      <rgbColor rgb="FFC24E9F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shta Naj" refreshedDate="46258.889317939815" createdVersion="8" refreshedVersion="8" minRefreshableVersion="3" recordCount="36" xr:uid="{FCDBE58F-C71E-49A6-A27C-AF91DC3156BA}">
  <cacheSource type="worksheet">
    <worksheetSource ref="A1:L37" sheet="Campaign Data"/>
  </cacheSource>
  <cacheFields count="12">
    <cacheField name="Date" numFmtId="0">
      <sharedItems/>
    </cacheField>
    <cacheField name="Platform" numFmtId="0">
      <sharedItems count="4">
        <s v="Instagram"/>
        <s v="Facebook"/>
        <s v="Google Ads"/>
        <s v="LinkedIn"/>
      </sharedItems>
    </cacheField>
    <cacheField name="Campaign Name" numFmtId="0">
      <sharedItems count="12">
        <s v="Reel Awareness Push"/>
        <s v="Influencer Collab Boost"/>
        <s v="Retargeting - Cart Drop"/>
        <s v="Lead Gen - Carousel"/>
        <s v="Display Remarketing"/>
        <s v="Search - Brand Keywords"/>
        <s v="Search - Generic Keywords"/>
        <s v="Sponsored InMail"/>
        <s v="B2B Lead Gen"/>
        <s v="Story Ad - New Launch"/>
        <s v="Brand Awareness Video"/>
        <s v="Thought Leadership Article"/>
      </sharedItems>
    </cacheField>
    <cacheField name="Impressions" numFmtId="0">
      <sharedItems containsSemiMixedTypes="0" containsString="0" containsNumber="1" containsInteger="1" minValue="15282" maxValue="88563" count="36">
        <n v="18278"/>
        <n v="26395"/>
        <n v="88563"/>
        <n v="15851"/>
        <n v="28396"/>
        <n v="75217"/>
        <n v="62400"/>
        <n v="45512"/>
        <n v="61566"/>
        <n v="37431"/>
        <n v="88000"/>
        <n v="56347"/>
        <n v="42869"/>
        <n v="47325"/>
        <n v="62447"/>
        <n v="35033"/>
        <n v="76348"/>
        <n v="85381"/>
        <n v="15425"/>
        <n v="28947"/>
        <n v="36174"/>
        <n v="17552"/>
        <n v="46571"/>
        <n v="31483"/>
        <n v="70461"/>
        <n v="67296"/>
        <n v="44451"/>
        <n v="22716"/>
        <n v="78624"/>
        <n v="76993"/>
        <n v="76213"/>
        <n v="59473"/>
        <n v="39050"/>
        <n v="27833"/>
        <n v="36798"/>
        <n v="15282"/>
      </sharedItems>
    </cacheField>
    <cacheField name="Reach" numFmtId="0">
      <sharedItems containsSemiMixedTypes="0" containsString="0" containsNumber="1" containsInteger="1" minValue="10242" maxValue="66192"/>
    </cacheField>
    <cacheField name="Clicks" numFmtId="0">
      <sharedItems containsSemiMixedTypes="0" containsString="0" containsNumber="1" containsInteger="1" minValue="313" maxValue="3369"/>
    </cacheField>
    <cacheField name="CTR (%)" numFmtId="10">
      <sharedItems containsSemiMixedTypes="0" containsString="0" containsNumber="1" minValue="1.5612697127173742E-2" maxValue="4.4946646067617578E-2"/>
    </cacheField>
    <cacheField name="Ad Spend (INR)" numFmtId="3">
      <sharedItems containsSemiMixedTypes="0" containsString="0" containsNumber="1" minValue="3687.37" maxValue="17779.82"/>
    </cacheField>
    <cacheField name="Conversions" numFmtId="0">
      <sharedItems containsSemiMixedTypes="0" containsString="0" containsNumber="1" containsInteger="1" minValue="14" maxValue="215"/>
    </cacheField>
    <cacheField name="Conv. Rate (%)" numFmtId="10">
      <sharedItems containsSemiMixedTypes="0" containsString="0" containsNumber="1" minValue="2.9560201874549386E-2" maxValue="8.792965627498002E-2"/>
    </cacheField>
    <cacheField name="CPC (INR)" numFmtId="4">
      <sharedItems containsSemiMixedTypes="0" containsString="0" containsNumber="1" minValue="1.6359228039041702" maxValue="42.174457142857143"/>
    </cacheField>
    <cacheField name="ROI (x)" numFmtId="164">
      <sharedItems containsSemiMixedTypes="0" containsString="0" containsNumber="1" minValue="0.62589949502271525" maxValue="32.327109783420461" count="36">
        <n v="2.2985998621656489"/>
        <n v="3.903040111861952"/>
        <n v="13.175612934172891"/>
        <n v="0.79886542987530018"/>
        <n v="1.5202992282538272"/>
        <n v="27.900601750168818"/>
        <n v="30.892649774771723"/>
        <n v="10.75372277742918"/>
        <n v="5.8270515465852419"/>
        <n v="3.5903421616887625"/>
        <n v="4.9484877484560785"/>
        <n v="3.3840105791206105"/>
        <n v="3.7373492736363523"/>
        <n v="5.9270359255512597"/>
        <n v="10.162381646338542"/>
        <n v="4.7862929150057862"/>
        <n v="6.7678689266388883"/>
        <n v="21.807409446068746"/>
        <n v="5.5603581725374207"/>
        <n v="3.3864389108917186"/>
        <n v="3.4909728706901042"/>
        <n v="1.3622286389850966"/>
        <n v="32.327109783420461"/>
        <n v="3.481175063683366"/>
        <n v="17.005468637683911"/>
        <n v="16.677480018805831"/>
        <n v="3.7750340000106113"/>
        <n v="1.4159254787653364"/>
        <n v="5.693004225399247"/>
        <n v="22.978661685331705"/>
        <n v="7.1550840778232487"/>
        <n v="12.687785694220995"/>
        <n v="2.4898254968550027"/>
        <n v="7.4939843929471612"/>
        <n v="5.8379236757471622"/>
        <n v="0.625899495022715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2026-01-21"/>
    <x v="0"/>
    <x v="0"/>
    <x v="0"/>
    <n v="14119"/>
    <n v="408"/>
    <n v="2.2321917058759164E-2"/>
    <n v="5093.07"/>
    <n v="14"/>
    <n v="3.4313725490196081E-2"/>
    <n v="12.483014705882352"/>
    <x v="0"/>
  </r>
  <r>
    <s v="2026-01-24"/>
    <x v="0"/>
    <x v="1"/>
    <x v="1"/>
    <n v="19193"/>
    <n v="421"/>
    <n v="1.5949990528509188E-2"/>
    <n v="4405.43"/>
    <n v="18"/>
    <n v="4.2755344418052253E-2"/>
    <n v="10.464204275534442"/>
    <x v="1"/>
  </r>
  <r>
    <s v="2026-01-20"/>
    <x v="0"/>
    <x v="0"/>
    <x v="2"/>
    <n v="53992"/>
    <n v="3055"/>
    <n v="3.4495218093334688E-2"/>
    <n v="11174.12"/>
    <n v="132"/>
    <n v="4.3207855973813422E-2"/>
    <n v="3.6576497545008184"/>
    <x v="2"/>
  </r>
  <r>
    <s v="2026-01-19"/>
    <x v="1"/>
    <x v="2"/>
    <x v="3"/>
    <n v="12326"/>
    <n v="313"/>
    <n v="1.9746388240489559E-2"/>
    <n v="9339.2199999999993"/>
    <n v="14"/>
    <n v="4.472843450479233E-2"/>
    <n v="29.837763578274757"/>
    <x v="3"/>
  </r>
  <r>
    <s v="2026-01-07"/>
    <x v="1"/>
    <x v="2"/>
    <x v="4"/>
    <n v="16407"/>
    <n v="508"/>
    <n v="1.7889843639949287E-2"/>
    <n v="15712.42"/>
    <n v="33"/>
    <n v="6.4960629921259838E-2"/>
    <n v="30.929960629921261"/>
    <x v="4"/>
  </r>
  <r>
    <s v="2026-01-26"/>
    <x v="1"/>
    <x v="3"/>
    <x v="5"/>
    <n v="53469"/>
    <n v="3324"/>
    <n v="4.4192137415743779E-2"/>
    <n v="8678.02"/>
    <n v="209"/>
    <n v="6.2876052948255115E-2"/>
    <n v="2.6107160048134777"/>
    <x v="5"/>
  </r>
  <r>
    <s v="2026-01-27"/>
    <x v="2"/>
    <x v="4"/>
    <x v="6"/>
    <n v="45128"/>
    <n v="2254"/>
    <n v="3.6121794871794871E-2"/>
    <n v="3687.37"/>
    <n v="98"/>
    <n v="4.3478260869565216E-2"/>
    <n v="1.6359228039041702"/>
    <x v="6"/>
  </r>
  <r>
    <s v="2026-01-10"/>
    <x v="2"/>
    <x v="5"/>
    <x v="7"/>
    <n v="36862"/>
    <n v="1201"/>
    <n v="2.6388644753032167E-2"/>
    <n v="9801.15"/>
    <n v="96"/>
    <n v="7.993338884263114E-2"/>
    <n v="8.1608243130724389"/>
    <x v="7"/>
  </r>
  <r>
    <s v="2026-01-06"/>
    <x v="2"/>
    <x v="6"/>
    <x v="8"/>
    <n v="37730"/>
    <n v="1416"/>
    <n v="2.2999707630835201E-2"/>
    <n v="17049.82"/>
    <n v="97"/>
    <n v="6.8502824858757055E-2"/>
    <n v="12.040833333333333"/>
    <x v="8"/>
  </r>
  <r>
    <s v="2026-01-20"/>
    <x v="3"/>
    <x v="7"/>
    <x v="9"/>
    <n v="26585"/>
    <n v="836"/>
    <n v="2.2334428682108411E-2"/>
    <n v="9933.9"/>
    <n v="38"/>
    <n v="4.5454545454545456E-2"/>
    <n v="11.882655502392344"/>
    <x v="9"/>
  </r>
  <r>
    <s v="2026-01-30"/>
    <x v="3"/>
    <x v="7"/>
    <x v="10"/>
    <n v="54197"/>
    <n v="2176"/>
    <n v="2.4727272727272726E-2"/>
    <n v="14524.7"/>
    <n v="72"/>
    <n v="3.3088235294117647E-2"/>
    <n v="6.6749540441176478"/>
    <x v="10"/>
  </r>
  <r>
    <s v="2026-01-27"/>
    <x v="3"/>
    <x v="8"/>
    <x v="11"/>
    <n v="37772"/>
    <n v="957"/>
    <n v="1.6984045290787442E-2"/>
    <n v="16697.04"/>
    <n v="61"/>
    <n v="6.3740856844305124E-2"/>
    <n v="17.447272727272729"/>
    <x v="11"/>
  </r>
  <r>
    <s v="2026-02-23"/>
    <x v="0"/>
    <x v="9"/>
    <x v="12"/>
    <n v="32007"/>
    <n v="1151"/>
    <n v="2.6849238377382258E-2"/>
    <n v="16718.21"/>
    <n v="66"/>
    <n v="5.7341442224152911E-2"/>
    <n v="14.524943527367506"/>
    <x v="12"/>
  </r>
  <r>
    <s v="2026-02-09"/>
    <x v="0"/>
    <x v="0"/>
    <x v="13"/>
    <n v="36605"/>
    <n v="1475"/>
    <n v="3.1167459059693609E-2"/>
    <n v="14205.21"/>
    <n v="82"/>
    <n v="5.5593220338983049E-2"/>
    <n v="9.6306508474576269"/>
    <x v="13"/>
  </r>
  <r>
    <s v="2026-02-19"/>
    <x v="0"/>
    <x v="9"/>
    <x v="14"/>
    <n v="38454"/>
    <n v="2805"/>
    <n v="4.4918090540778582E-2"/>
    <n v="10642.89"/>
    <n v="99"/>
    <n v="3.5294117647058823E-2"/>
    <n v="3.7942566844919785"/>
    <x v="14"/>
  </r>
  <r>
    <s v="2026-02-02"/>
    <x v="1"/>
    <x v="3"/>
    <x v="15"/>
    <n v="25862"/>
    <n v="1357"/>
    <n v="3.8734907087603118E-2"/>
    <n v="9332.4"/>
    <n v="45"/>
    <n v="3.3161385408990419E-2"/>
    <n v="6.8772291820191596"/>
    <x v="15"/>
  </r>
  <r>
    <s v="2026-02-13"/>
    <x v="1"/>
    <x v="10"/>
    <x v="16"/>
    <n v="54110"/>
    <n v="3369"/>
    <n v="4.4126892649447268E-2"/>
    <n v="15911.7"/>
    <n v="103"/>
    <n v="3.0572870287919263E-2"/>
    <n v="4.7229741763134463"/>
    <x v="16"/>
  </r>
  <r>
    <s v="2026-02-24"/>
    <x v="1"/>
    <x v="3"/>
    <x v="17"/>
    <n v="66192"/>
    <n v="3249"/>
    <n v="3.8052962602921021E-2"/>
    <n v="8102.63"/>
    <n v="154"/>
    <n v="4.7399199753770389E-2"/>
    <n v="2.4938842720837182"/>
    <x v="17"/>
  </r>
  <r>
    <s v="2026-02-06"/>
    <x v="2"/>
    <x v="6"/>
    <x v="18"/>
    <n v="12897"/>
    <n v="636"/>
    <n v="4.1231766612641815E-2"/>
    <n v="6950.84"/>
    <n v="38"/>
    <n v="5.9748427672955975E-2"/>
    <n v="10.928993710691824"/>
    <x v="18"/>
  </r>
  <r>
    <s v="2026-02-06"/>
    <x v="2"/>
    <x v="4"/>
    <x v="19"/>
    <n v="23480"/>
    <n v="693"/>
    <n v="2.3940304694787026E-2"/>
    <n v="12584.24"/>
    <n v="46"/>
    <n v="6.6378066378066383E-2"/>
    <n v="18.159076479076479"/>
    <x v="19"/>
  </r>
  <r>
    <s v="2026-02-05"/>
    <x v="2"/>
    <x v="6"/>
    <x v="20"/>
    <n v="25749"/>
    <n v="1387"/>
    <n v="3.8342455907557915E-2"/>
    <n v="10955.31"/>
    <n v="41"/>
    <n v="2.9560201874549386E-2"/>
    <n v="7.8985652487382838"/>
    <x v="20"/>
  </r>
  <r>
    <s v="2026-02-11"/>
    <x v="3"/>
    <x v="11"/>
    <x v="21"/>
    <n v="10242"/>
    <n v="454"/>
    <n v="2.5865998176845942E-2"/>
    <n v="17779.82"/>
    <n v="35"/>
    <n v="7.7092511013215861E-2"/>
    <n v="39.16259911894273"/>
    <x v="21"/>
  </r>
  <r>
    <s v="2026-02-08"/>
    <x v="3"/>
    <x v="8"/>
    <x v="22"/>
    <n v="37880"/>
    <n v="2021"/>
    <n v="4.3396104872130727E-2"/>
    <n v="4284.8"/>
    <n v="119"/>
    <n v="5.8881741712023754E-2"/>
    <n v="2.1201385452746164"/>
    <x v="22"/>
  </r>
  <r>
    <s v="2026-02-03"/>
    <x v="3"/>
    <x v="7"/>
    <x v="23"/>
    <n v="18528"/>
    <n v="921"/>
    <n v="2.9253883047994155E-2"/>
    <n v="11247.05"/>
    <n v="42"/>
    <n v="4.5602605863192182E-2"/>
    <n v="12.211780673181323"/>
    <x v="23"/>
  </r>
  <r>
    <s v="2026-03-28"/>
    <x v="0"/>
    <x v="1"/>
    <x v="24"/>
    <n v="59138"/>
    <n v="3020"/>
    <n v="4.286058954598998E-2"/>
    <n v="14328.98"/>
    <n v="215"/>
    <n v="7.1192052980132453E-2"/>
    <n v="4.7446953642384102"/>
    <x v="24"/>
  </r>
  <r>
    <s v="2026-03-23"/>
    <x v="0"/>
    <x v="9"/>
    <x v="25"/>
    <n v="57103"/>
    <n v="2321"/>
    <n v="3.4489419876367097E-2"/>
    <n v="9571.5"/>
    <n v="141"/>
    <n v="6.0749676863420941E-2"/>
    <n v="4.1238690219732872"/>
    <x v="25"/>
  </r>
  <r>
    <s v="2026-03-04"/>
    <x v="0"/>
    <x v="0"/>
    <x v="26"/>
    <n v="25301"/>
    <n v="694"/>
    <n v="1.5612697127173742E-2"/>
    <n v="11308.82"/>
    <n v="45"/>
    <n v="6.4841498559077809E-2"/>
    <n v="16.295129682997118"/>
    <x v="26"/>
  </r>
  <r>
    <s v="2026-03-01"/>
    <x v="1"/>
    <x v="3"/>
    <x v="27"/>
    <n v="14053"/>
    <n v="957"/>
    <n v="4.2128895932382462E-2"/>
    <n v="15894.53"/>
    <n v="32"/>
    <n v="3.343782654127482E-2"/>
    <n v="16.608704284221528"/>
    <x v="27"/>
  </r>
  <r>
    <s v="2026-03-08"/>
    <x v="1"/>
    <x v="2"/>
    <x v="28"/>
    <n v="48296"/>
    <n v="1491"/>
    <n v="1.8963675213675212E-2"/>
    <n v="17032.71"/>
    <n v="95"/>
    <n v="6.3715627095908792E-2"/>
    <n v="11.423682092555332"/>
    <x v="28"/>
  </r>
  <r>
    <s v="2026-03-16"/>
    <x v="1"/>
    <x v="3"/>
    <x v="29"/>
    <n v="60997"/>
    <n v="1594"/>
    <n v="2.0703180808644941E-2"/>
    <n v="4453.96"/>
    <n v="89"/>
    <n v="5.5834378920953574E-2"/>
    <n v="2.794203262233375"/>
    <x v="29"/>
  </r>
  <r>
    <s v="2026-03-14"/>
    <x v="2"/>
    <x v="6"/>
    <x v="30"/>
    <n v="61667"/>
    <n v="1267"/>
    <n v="1.6624460393896055E-2"/>
    <n v="12801.83"/>
    <n v="87"/>
    <n v="6.8666140489344912E-2"/>
    <n v="10.104048934490923"/>
    <x v="30"/>
  </r>
  <r>
    <s v="2026-03-02"/>
    <x v="2"/>
    <x v="6"/>
    <x v="31"/>
    <n v="46994"/>
    <n v="1087"/>
    <n v="1.8277201419131372E-2"/>
    <n v="5873.85"/>
    <n v="67"/>
    <n v="6.1637534498620056E-2"/>
    <n v="5.4037258509659614"/>
    <x v="31"/>
  </r>
  <r>
    <s v="2026-03-05"/>
    <x v="2"/>
    <x v="6"/>
    <x v="32"/>
    <n v="24740"/>
    <n v="878"/>
    <n v="2.2483994878361075E-2"/>
    <n v="16848.98"/>
    <n v="49"/>
    <n v="5.5808656036446469E-2"/>
    <n v="19.190182232346242"/>
    <x v="32"/>
  </r>
  <r>
    <s v="2026-03-28"/>
    <x v="3"/>
    <x v="7"/>
    <x v="33"/>
    <n v="15730"/>
    <n v="1251"/>
    <n v="4.4946646067617578E-2"/>
    <n v="15540.41"/>
    <n v="110"/>
    <n v="8.792965627498002E-2"/>
    <n v="12.422390087929656"/>
    <x v="33"/>
  </r>
  <r>
    <s v="2026-03-30"/>
    <x v="3"/>
    <x v="8"/>
    <x v="34"/>
    <n v="24725"/>
    <n v="1083"/>
    <n v="2.9430947334094244E-2"/>
    <n v="15969.76"/>
    <n v="91"/>
    <n v="8.4025854108956605E-2"/>
    <n v="14.745854108956602"/>
    <x v="34"/>
  </r>
  <r>
    <s v="2026-03-06"/>
    <x v="3"/>
    <x v="11"/>
    <x v="35"/>
    <n v="12922"/>
    <n v="350"/>
    <n v="2.290276141866248E-2"/>
    <n v="14761.06"/>
    <n v="20"/>
    <n v="5.7142857142857141E-2"/>
    <n v="42.174457142857143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21712-8D00-48D6-A61A-5F8B606CB8BF}" name="PivotTable1" cacheId="0" dataOnRows="1" applyNumberFormats="0" applyBorderFormats="0" applyFontFormats="0" applyPatternFormats="0" applyAlignmentFormats="0" applyWidthHeightFormats="1" dataCaption="Overall Marketing Performance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showAll="0"/>
    <pivotField showAll="0"/>
    <pivotField dataField="1" showAll="0">
      <items count="37">
        <item x="35"/>
        <item x="18"/>
        <item x="3"/>
        <item x="21"/>
        <item x="0"/>
        <item x="27"/>
        <item x="1"/>
        <item x="33"/>
        <item x="4"/>
        <item x="19"/>
        <item x="23"/>
        <item x="15"/>
        <item x="20"/>
        <item x="34"/>
        <item x="9"/>
        <item x="32"/>
        <item x="12"/>
        <item x="26"/>
        <item x="7"/>
        <item x="22"/>
        <item x="13"/>
        <item x="11"/>
        <item x="31"/>
        <item x="8"/>
        <item x="6"/>
        <item x="14"/>
        <item x="25"/>
        <item x="24"/>
        <item x="5"/>
        <item x="30"/>
        <item x="16"/>
        <item x="29"/>
        <item x="28"/>
        <item x="17"/>
        <item x="10"/>
        <item x="2"/>
        <item t="default"/>
      </items>
    </pivotField>
    <pivotField dataField="1" showAll="0"/>
    <pivotField dataField="1" showAll="0"/>
    <pivotField numFmtId="10" showAll="0"/>
    <pivotField dataField="1" numFmtId="3" showAll="0"/>
    <pivotField dataField="1" showAll="0"/>
    <pivotField numFmtId="10" showAll="0"/>
    <pivotField dataField="1" numFmtId="4" showAll="0"/>
    <pivotField dataField="1" numFmtId="164"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Sum of Impressions" fld="3" baseField="0" baseItem="0"/>
    <dataField name="Sum of Reach" fld="4" baseField="0" baseItem="0"/>
    <dataField name="Sum of Clicks" fld="5" baseField="0" baseItem="0"/>
    <dataField name="Sum of Conversions" fld="8" baseField="0" baseItem="0"/>
    <dataField name="Sum of CPC (INR)" fld="10" baseField="0" baseItem="0" numFmtId="4"/>
    <dataField name="Sum of Ad Spend (INR)" fld="7" baseField="0" baseItem="0" numFmtId="3"/>
    <dataField name="Average of ROI (x)" fld="11" subtotal="average" baseField="0" baseItem="0" numFmtId="164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B3382-A3E6-40B5-B003-05EAA9B91F5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9" firstHeaderRow="0" firstDataRow="1" firstDataCol="1"/>
  <pivotFields count="12">
    <pivotField showAll="0"/>
    <pivotField showAll="0"/>
    <pivotField axis="axisRow" showAll="0">
      <items count="13">
        <item x="8"/>
        <item x="10"/>
        <item x="4"/>
        <item x="1"/>
        <item x="3"/>
        <item x="0"/>
        <item x="2"/>
        <item x="5"/>
        <item x="6"/>
        <item x="7"/>
        <item x="9"/>
        <item x="11"/>
        <item t="default"/>
      </items>
    </pivotField>
    <pivotField showAll="0"/>
    <pivotField showAll="0"/>
    <pivotField showAll="0"/>
    <pivotField dataField="1" numFmtId="10" showAll="0"/>
    <pivotField numFmtId="3" showAll="0"/>
    <pivotField dataField="1" showAll="0"/>
    <pivotField numFmtId="10" showAll="0"/>
    <pivotField numFmtId="4"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OI (x)" fld="11" baseField="0" baseItem="0" numFmtId="164"/>
    <dataField name="Sum of Conversions" fld="8" baseField="0" baseItem="0"/>
    <dataField name="Sum of CTR (%)" fld="6" baseField="0" baseItem="0" numFmtId="10"/>
  </dataFields>
  <conditionalFormats count="3">
    <conditionalFormat type="all"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1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300C5-A8AE-480B-A29F-7F4F5FEB79C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O8" firstHeaderRow="0" firstDataRow="1" firstDataCol="1"/>
  <pivotFields count="12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numFmtId="10" showAll="0"/>
    <pivotField numFmtId="3" showAll="0"/>
    <pivotField showAll="0"/>
    <pivotField dataField="1" numFmtId="10" showAll="0"/>
    <pivotField dataField="1" numFmtId="4" showAll="0"/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TR (%)" fld="6" baseField="0" baseItem="0" numFmtId="10"/>
    <dataField name="Sum of Conv. Rate (%)" fld="9" baseField="0" baseItem="0" numFmtId="10"/>
    <dataField name="Sum of CPC (INR)" fld="10" baseField="0" baseItem="0" numFmtId="4"/>
    <dataField name="Average of ROI (x)" fld="11" subtotal="average" baseField="1" baseItem="0" numFmtId="164"/>
  </dataFields>
  <formats count="4">
    <format dxfId="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3"/>
          </reference>
          <reference field="1" count="1">
            <x v="3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64AB3-91F3-4FEC-AF47-D78E94F4D9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I8" firstHeaderRow="0" firstDataRow="1" firstDataCol="1"/>
  <pivotFields count="12">
    <pivotField showAll="0"/>
    <pivotField axis="axisRow" showAll="0" sortType="ascending">
      <items count="5">
        <item x="1"/>
        <item x="2"/>
        <item x="0"/>
        <item x="3"/>
        <item t="default"/>
      </items>
    </pivotField>
    <pivotField showAll="0"/>
    <pivotField dataField="1" showAll="0"/>
    <pivotField dataField="1" showAll="0"/>
    <pivotField dataField="1" showAll="0"/>
    <pivotField numFmtId="10" showAll="0"/>
    <pivotField numFmtId="3" showAll="0"/>
    <pivotField dataField="1" showAll="0"/>
    <pivotField numFmtId="10" showAll="0"/>
    <pivotField numFmtId="4" showAll="0"/>
    <pivotField dataField="1" numFmtId="164" showAll="0">
      <items count="37">
        <item x="35"/>
        <item x="3"/>
        <item x="21"/>
        <item x="27"/>
        <item x="4"/>
        <item x="0"/>
        <item x="32"/>
        <item x="11"/>
        <item x="19"/>
        <item x="23"/>
        <item x="20"/>
        <item x="9"/>
        <item x="12"/>
        <item x="26"/>
        <item x="1"/>
        <item x="15"/>
        <item x="10"/>
        <item x="18"/>
        <item x="28"/>
        <item x="8"/>
        <item x="34"/>
        <item x="13"/>
        <item x="16"/>
        <item x="30"/>
        <item x="33"/>
        <item x="14"/>
        <item x="7"/>
        <item x="31"/>
        <item x="2"/>
        <item x="25"/>
        <item x="24"/>
        <item x="17"/>
        <item x="29"/>
        <item x="5"/>
        <item x="6"/>
        <item x="2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mpressions" fld="3" baseField="0" baseItem="1"/>
    <dataField name="Sum of Reach" fld="4" baseField="0" baseItem="0"/>
    <dataField name="Sum of Clicks" fld="5" baseField="0" baseItem="0"/>
    <dataField name="Sum of Conversions" fld="8" baseField="0" baseItem="0"/>
    <dataField name="Average of ROI (x)" fld="11" subtotal="average" baseField="1" baseItem="0" numFmtId="164"/>
  </dataFields>
  <formats count="6">
    <format dxfId="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1" count="1">
            <x v="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4"/>
          </reference>
          <reference field="1" count="1">
            <x v="0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Normal="100" workbookViewId="0">
      <pane ySplit="1" topLeftCell="A2" activePane="bottomLeft" state="frozen"/>
      <selection pane="bottomLeft" activeCell="A5" sqref="A5"/>
    </sheetView>
  </sheetViews>
  <sheetFormatPr defaultColWidth="8.6640625" defaultRowHeight="14.4" x14ac:dyDescent="0.3"/>
  <cols>
    <col min="1" max="1" width="12" customWidth="1"/>
    <col min="2" max="2" width="13" customWidth="1"/>
    <col min="3" max="3" width="26" customWidth="1"/>
    <col min="4" max="4" width="13" customWidth="1"/>
    <col min="5" max="5" width="12" customWidth="1"/>
    <col min="6" max="7" width="10" customWidth="1"/>
    <col min="8" max="8" width="15" customWidth="1"/>
    <col min="9" max="9" width="12" customWidth="1"/>
    <col min="10" max="10" width="13" customWidth="1"/>
    <col min="11" max="11" width="12" customWidth="1"/>
    <col min="12" max="12" width="10" customWidth="1"/>
  </cols>
  <sheetData>
    <row r="1" spans="1:12" ht="27.6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>
        <v>18278</v>
      </c>
      <c r="E2" s="2">
        <v>14119</v>
      </c>
      <c r="F2" s="2">
        <v>408</v>
      </c>
      <c r="G2" s="3">
        <f t="shared" ref="G2:G37" si="0">F2/D2</f>
        <v>2.2321917058759164E-2</v>
      </c>
      <c r="H2" s="4">
        <v>5093.07</v>
      </c>
      <c r="I2" s="2">
        <v>14</v>
      </c>
      <c r="J2" s="3">
        <f t="shared" ref="J2:J37" si="1">I2/F2</f>
        <v>3.4313725490196081E-2</v>
      </c>
      <c r="K2" s="5">
        <f t="shared" ref="K2:K37" si="2">H2/F2</f>
        <v>12.483014705882352</v>
      </c>
      <c r="L2" s="6">
        <f t="shared" ref="L2:L37" si="3">(I2*1200-H2)/H2</f>
        <v>2.2985998621656489</v>
      </c>
    </row>
    <row r="3" spans="1:12" x14ac:dyDescent="0.3">
      <c r="A3" s="2" t="s">
        <v>15</v>
      </c>
      <c r="B3" s="2" t="s">
        <v>13</v>
      </c>
      <c r="C3" s="2" t="s">
        <v>16</v>
      </c>
      <c r="D3" s="2">
        <v>26395</v>
      </c>
      <c r="E3" s="2">
        <v>19193</v>
      </c>
      <c r="F3" s="2">
        <v>421</v>
      </c>
      <c r="G3" s="3">
        <f t="shared" si="0"/>
        <v>1.5949990528509188E-2</v>
      </c>
      <c r="H3" s="4">
        <v>4405.43</v>
      </c>
      <c r="I3" s="2">
        <v>18</v>
      </c>
      <c r="J3" s="3">
        <f t="shared" si="1"/>
        <v>4.2755344418052253E-2</v>
      </c>
      <c r="K3" s="5">
        <f t="shared" si="2"/>
        <v>10.464204275534442</v>
      </c>
      <c r="L3" s="6">
        <f t="shared" si="3"/>
        <v>3.903040111861952</v>
      </c>
    </row>
    <row r="4" spans="1:12" x14ac:dyDescent="0.3">
      <c r="A4" s="2" t="s">
        <v>17</v>
      </c>
      <c r="B4" s="2" t="s">
        <v>13</v>
      </c>
      <c r="C4" s="2" t="s">
        <v>14</v>
      </c>
      <c r="D4" s="2">
        <v>88563</v>
      </c>
      <c r="E4" s="2">
        <v>53992</v>
      </c>
      <c r="F4" s="2">
        <v>3055</v>
      </c>
      <c r="G4" s="3">
        <f t="shared" si="0"/>
        <v>3.4495218093334688E-2</v>
      </c>
      <c r="H4" s="4">
        <v>11174.12</v>
      </c>
      <c r="I4" s="2">
        <v>132</v>
      </c>
      <c r="J4" s="3">
        <f t="shared" si="1"/>
        <v>4.3207855973813422E-2</v>
      </c>
      <c r="K4" s="5">
        <f t="shared" si="2"/>
        <v>3.6576497545008184</v>
      </c>
      <c r="L4" s="6">
        <f t="shared" si="3"/>
        <v>13.175612934172891</v>
      </c>
    </row>
    <row r="5" spans="1:12" x14ac:dyDescent="0.3">
      <c r="A5" s="27">
        <v>46041</v>
      </c>
      <c r="B5" s="2" t="s">
        <v>18</v>
      </c>
      <c r="C5" s="2" t="s">
        <v>19</v>
      </c>
      <c r="D5" s="2">
        <v>15851</v>
      </c>
      <c r="E5" s="2">
        <v>12326</v>
      </c>
      <c r="F5" s="2">
        <v>313</v>
      </c>
      <c r="G5" s="3">
        <f t="shared" si="0"/>
        <v>1.9746388240489559E-2</v>
      </c>
      <c r="H5" s="4">
        <v>9339.2199999999993</v>
      </c>
      <c r="I5" s="2">
        <v>14</v>
      </c>
      <c r="J5" s="3">
        <f t="shared" si="1"/>
        <v>4.472843450479233E-2</v>
      </c>
      <c r="K5" s="5">
        <f t="shared" si="2"/>
        <v>29.837763578274757</v>
      </c>
      <c r="L5" s="6">
        <f t="shared" si="3"/>
        <v>0.79886542987530018</v>
      </c>
    </row>
    <row r="6" spans="1:12" x14ac:dyDescent="0.3">
      <c r="A6" s="2" t="s">
        <v>20</v>
      </c>
      <c r="B6" s="2" t="s">
        <v>18</v>
      </c>
      <c r="C6" s="2" t="s">
        <v>19</v>
      </c>
      <c r="D6" s="2">
        <v>28396</v>
      </c>
      <c r="E6" s="2">
        <v>16407</v>
      </c>
      <c r="F6" s="2">
        <v>508</v>
      </c>
      <c r="G6" s="3">
        <f t="shared" si="0"/>
        <v>1.7889843639949287E-2</v>
      </c>
      <c r="H6" s="4">
        <v>15712.42</v>
      </c>
      <c r="I6" s="2">
        <v>33</v>
      </c>
      <c r="J6" s="3">
        <f t="shared" si="1"/>
        <v>6.4960629921259838E-2</v>
      </c>
      <c r="K6" s="5">
        <f t="shared" si="2"/>
        <v>30.929960629921261</v>
      </c>
      <c r="L6" s="6">
        <f t="shared" si="3"/>
        <v>1.5202992282538272</v>
      </c>
    </row>
    <row r="7" spans="1:12" x14ac:dyDescent="0.3">
      <c r="A7" s="2" t="s">
        <v>21</v>
      </c>
      <c r="B7" s="2" t="s">
        <v>18</v>
      </c>
      <c r="C7" s="2" t="s">
        <v>22</v>
      </c>
      <c r="D7" s="2">
        <v>75217</v>
      </c>
      <c r="E7" s="2">
        <v>53469</v>
      </c>
      <c r="F7" s="2">
        <v>3324</v>
      </c>
      <c r="G7" s="3">
        <f t="shared" si="0"/>
        <v>4.4192137415743779E-2</v>
      </c>
      <c r="H7" s="4">
        <v>8678.02</v>
      </c>
      <c r="I7" s="2">
        <v>209</v>
      </c>
      <c r="J7" s="3">
        <f t="shared" si="1"/>
        <v>6.2876052948255115E-2</v>
      </c>
      <c r="K7" s="5">
        <f t="shared" si="2"/>
        <v>2.6107160048134777</v>
      </c>
      <c r="L7" s="6">
        <f t="shared" si="3"/>
        <v>27.900601750168818</v>
      </c>
    </row>
    <row r="8" spans="1:12" x14ac:dyDescent="0.3">
      <c r="A8" s="2" t="s">
        <v>23</v>
      </c>
      <c r="B8" s="2" t="s">
        <v>24</v>
      </c>
      <c r="C8" s="2" t="s">
        <v>25</v>
      </c>
      <c r="D8" s="2">
        <v>62400</v>
      </c>
      <c r="E8" s="2">
        <v>45128</v>
      </c>
      <c r="F8" s="2">
        <v>2254</v>
      </c>
      <c r="G8" s="3">
        <f t="shared" si="0"/>
        <v>3.6121794871794871E-2</v>
      </c>
      <c r="H8" s="4">
        <v>3687.37</v>
      </c>
      <c r="I8" s="2">
        <v>98</v>
      </c>
      <c r="J8" s="3">
        <f t="shared" si="1"/>
        <v>4.3478260869565216E-2</v>
      </c>
      <c r="K8" s="5">
        <f t="shared" si="2"/>
        <v>1.6359228039041702</v>
      </c>
      <c r="L8" s="6">
        <f t="shared" si="3"/>
        <v>30.892649774771723</v>
      </c>
    </row>
    <row r="9" spans="1:12" x14ac:dyDescent="0.3">
      <c r="A9" s="2" t="s">
        <v>26</v>
      </c>
      <c r="B9" s="2" t="s">
        <v>24</v>
      </c>
      <c r="C9" s="2" t="s">
        <v>27</v>
      </c>
      <c r="D9" s="2">
        <v>45512</v>
      </c>
      <c r="E9" s="2">
        <v>36862</v>
      </c>
      <c r="F9" s="2">
        <v>1201</v>
      </c>
      <c r="G9" s="3">
        <f t="shared" si="0"/>
        <v>2.6388644753032167E-2</v>
      </c>
      <c r="H9" s="4">
        <v>9801.15</v>
      </c>
      <c r="I9" s="2">
        <v>96</v>
      </c>
      <c r="J9" s="3">
        <f t="shared" si="1"/>
        <v>7.993338884263114E-2</v>
      </c>
      <c r="K9" s="5">
        <f t="shared" si="2"/>
        <v>8.1608243130724389</v>
      </c>
      <c r="L9" s="6">
        <f t="shared" si="3"/>
        <v>10.75372277742918</v>
      </c>
    </row>
    <row r="10" spans="1:12" x14ac:dyDescent="0.3">
      <c r="A10" s="2" t="s">
        <v>28</v>
      </c>
      <c r="B10" s="2" t="s">
        <v>24</v>
      </c>
      <c r="C10" s="2" t="s">
        <v>29</v>
      </c>
      <c r="D10" s="2">
        <v>61566</v>
      </c>
      <c r="E10" s="2">
        <v>37730</v>
      </c>
      <c r="F10" s="2">
        <v>1416</v>
      </c>
      <c r="G10" s="3">
        <f t="shared" si="0"/>
        <v>2.2999707630835201E-2</v>
      </c>
      <c r="H10" s="4">
        <v>17049.82</v>
      </c>
      <c r="I10" s="2">
        <v>97</v>
      </c>
      <c r="J10" s="3">
        <f t="shared" si="1"/>
        <v>6.8502824858757055E-2</v>
      </c>
      <c r="K10" s="5">
        <f t="shared" si="2"/>
        <v>12.040833333333333</v>
      </c>
      <c r="L10" s="6">
        <f t="shared" si="3"/>
        <v>5.8270515465852419</v>
      </c>
    </row>
    <row r="11" spans="1:12" x14ac:dyDescent="0.3">
      <c r="A11" s="2" t="s">
        <v>17</v>
      </c>
      <c r="B11" s="2" t="s">
        <v>30</v>
      </c>
      <c r="C11" s="2" t="s">
        <v>31</v>
      </c>
      <c r="D11" s="2">
        <v>37431</v>
      </c>
      <c r="E11" s="2">
        <v>26585</v>
      </c>
      <c r="F11" s="2">
        <v>836</v>
      </c>
      <c r="G11" s="3">
        <f t="shared" si="0"/>
        <v>2.2334428682108411E-2</v>
      </c>
      <c r="H11" s="4">
        <v>9933.9</v>
      </c>
      <c r="I11" s="2">
        <v>38</v>
      </c>
      <c r="J11" s="3">
        <f t="shared" si="1"/>
        <v>4.5454545454545456E-2</v>
      </c>
      <c r="K11" s="5">
        <f t="shared" si="2"/>
        <v>11.882655502392344</v>
      </c>
      <c r="L11" s="6">
        <f t="shared" si="3"/>
        <v>3.5903421616887625</v>
      </c>
    </row>
    <row r="12" spans="1:12" x14ac:dyDescent="0.3">
      <c r="A12" s="2" t="s">
        <v>32</v>
      </c>
      <c r="B12" s="2" t="s">
        <v>30</v>
      </c>
      <c r="C12" s="2" t="s">
        <v>31</v>
      </c>
      <c r="D12" s="2">
        <v>88000</v>
      </c>
      <c r="E12" s="2">
        <v>54197</v>
      </c>
      <c r="F12" s="2">
        <v>2176</v>
      </c>
      <c r="G12" s="3">
        <f t="shared" si="0"/>
        <v>2.4727272727272726E-2</v>
      </c>
      <c r="H12" s="4">
        <v>14524.7</v>
      </c>
      <c r="I12" s="2">
        <v>72</v>
      </c>
      <c r="J12" s="3">
        <f t="shared" si="1"/>
        <v>3.3088235294117647E-2</v>
      </c>
      <c r="K12" s="5">
        <f t="shared" si="2"/>
        <v>6.6749540441176478</v>
      </c>
      <c r="L12" s="6">
        <f t="shared" si="3"/>
        <v>4.9484877484560785</v>
      </c>
    </row>
    <row r="13" spans="1:12" x14ac:dyDescent="0.3">
      <c r="A13" s="2" t="s">
        <v>23</v>
      </c>
      <c r="B13" s="2" t="s">
        <v>30</v>
      </c>
      <c r="C13" s="2" t="s">
        <v>33</v>
      </c>
      <c r="D13" s="2">
        <v>56347</v>
      </c>
      <c r="E13" s="2">
        <v>37772</v>
      </c>
      <c r="F13" s="2">
        <v>957</v>
      </c>
      <c r="G13" s="3">
        <f t="shared" si="0"/>
        <v>1.6984045290787442E-2</v>
      </c>
      <c r="H13" s="4">
        <v>16697.04</v>
      </c>
      <c r="I13" s="2">
        <v>61</v>
      </c>
      <c r="J13" s="3">
        <f t="shared" si="1"/>
        <v>6.3740856844305124E-2</v>
      </c>
      <c r="K13" s="5">
        <f t="shared" si="2"/>
        <v>17.447272727272729</v>
      </c>
      <c r="L13" s="6">
        <f t="shared" si="3"/>
        <v>3.3840105791206105</v>
      </c>
    </row>
    <row r="14" spans="1:12" x14ac:dyDescent="0.3">
      <c r="A14" s="2" t="s">
        <v>34</v>
      </c>
      <c r="B14" s="2" t="s">
        <v>13</v>
      </c>
      <c r="C14" s="2" t="s">
        <v>35</v>
      </c>
      <c r="D14" s="2">
        <v>42869</v>
      </c>
      <c r="E14" s="2">
        <v>32007</v>
      </c>
      <c r="F14" s="2">
        <v>1151</v>
      </c>
      <c r="G14" s="3">
        <f t="shared" si="0"/>
        <v>2.6849238377382258E-2</v>
      </c>
      <c r="H14" s="4">
        <v>16718.21</v>
      </c>
      <c r="I14" s="2">
        <v>66</v>
      </c>
      <c r="J14" s="3">
        <f t="shared" si="1"/>
        <v>5.7341442224152911E-2</v>
      </c>
      <c r="K14" s="5">
        <f t="shared" si="2"/>
        <v>14.524943527367506</v>
      </c>
      <c r="L14" s="6">
        <f t="shared" si="3"/>
        <v>3.7373492736363523</v>
      </c>
    </row>
    <row r="15" spans="1:12" x14ac:dyDescent="0.3">
      <c r="A15" s="2" t="s">
        <v>36</v>
      </c>
      <c r="B15" s="2" t="s">
        <v>13</v>
      </c>
      <c r="C15" s="2" t="s">
        <v>14</v>
      </c>
      <c r="D15" s="2">
        <v>47325</v>
      </c>
      <c r="E15" s="2">
        <v>36605</v>
      </c>
      <c r="F15" s="2">
        <v>1475</v>
      </c>
      <c r="G15" s="3">
        <f t="shared" si="0"/>
        <v>3.1167459059693609E-2</v>
      </c>
      <c r="H15" s="4">
        <v>14205.21</v>
      </c>
      <c r="I15" s="2">
        <v>82</v>
      </c>
      <c r="J15" s="3">
        <f t="shared" si="1"/>
        <v>5.5593220338983049E-2</v>
      </c>
      <c r="K15" s="5">
        <f t="shared" si="2"/>
        <v>9.6306508474576269</v>
      </c>
      <c r="L15" s="6">
        <f t="shared" si="3"/>
        <v>5.9270359255512597</v>
      </c>
    </row>
    <row r="16" spans="1:12" x14ac:dyDescent="0.3">
      <c r="A16" s="2" t="s">
        <v>37</v>
      </c>
      <c r="B16" s="2" t="s">
        <v>13</v>
      </c>
      <c r="C16" s="2" t="s">
        <v>35</v>
      </c>
      <c r="D16" s="2">
        <v>62447</v>
      </c>
      <c r="E16" s="2">
        <v>38454</v>
      </c>
      <c r="F16" s="2">
        <v>2805</v>
      </c>
      <c r="G16" s="3">
        <f t="shared" si="0"/>
        <v>4.4918090540778582E-2</v>
      </c>
      <c r="H16" s="4">
        <v>10642.89</v>
      </c>
      <c r="I16" s="2">
        <v>99</v>
      </c>
      <c r="J16" s="3">
        <f t="shared" si="1"/>
        <v>3.5294117647058823E-2</v>
      </c>
      <c r="K16" s="5">
        <f t="shared" si="2"/>
        <v>3.7942566844919785</v>
      </c>
      <c r="L16" s="6">
        <f t="shared" si="3"/>
        <v>10.162381646338542</v>
      </c>
    </row>
    <row r="17" spans="1:12" x14ac:dyDescent="0.3">
      <c r="A17" s="2" t="s">
        <v>38</v>
      </c>
      <c r="B17" s="2" t="s">
        <v>18</v>
      </c>
      <c r="C17" s="2" t="s">
        <v>22</v>
      </c>
      <c r="D17" s="2">
        <v>35033</v>
      </c>
      <c r="E17" s="2">
        <v>25862</v>
      </c>
      <c r="F17" s="2">
        <v>1357</v>
      </c>
      <c r="G17" s="3">
        <f t="shared" si="0"/>
        <v>3.8734907087603118E-2</v>
      </c>
      <c r="H17" s="4">
        <v>9332.4</v>
      </c>
      <c r="I17" s="2">
        <v>45</v>
      </c>
      <c r="J17" s="3">
        <f t="shared" si="1"/>
        <v>3.3161385408990419E-2</v>
      </c>
      <c r="K17" s="5">
        <f t="shared" si="2"/>
        <v>6.8772291820191596</v>
      </c>
      <c r="L17" s="6">
        <f t="shared" si="3"/>
        <v>4.7862929150057862</v>
      </c>
    </row>
    <row r="18" spans="1:12" x14ac:dyDescent="0.3">
      <c r="A18" s="2" t="s">
        <v>39</v>
      </c>
      <c r="B18" s="2" t="s">
        <v>18</v>
      </c>
      <c r="C18" s="2" t="s">
        <v>40</v>
      </c>
      <c r="D18" s="2">
        <v>76348</v>
      </c>
      <c r="E18" s="2">
        <v>54110</v>
      </c>
      <c r="F18" s="2">
        <v>3369</v>
      </c>
      <c r="G18" s="3">
        <f t="shared" si="0"/>
        <v>4.4126892649447268E-2</v>
      </c>
      <c r="H18" s="4">
        <v>15911.7</v>
      </c>
      <c r="I18" s="2">
        <v>103</v>
      </c>
      <c r="J18" s="3">
        <f t="shared" si="1"/>
        <v>3.0572870287919263E-2</v>
      </c>
      <c r="K18" s="5">
        <f t="shared" si="2"/>
        <v>4.7229741763134463</v>
      </c>
      <c r="L18" s="6">
        <f t="shared" si="3"/>
        <v>6.7678689266388883</v>
      </c>
    </row>
    <row r="19" spans="1:12" x14ac:dyDescent="0.3">
      <c r="A19" s="2" t="s">
        <v>41</v>
      </c>
      <c r="B19" s="2" t="s">
        <v>18</v>
      </c>
      <c r="C19" s="2" t="s">
        <v>22</v>
      </c>
      <c r="D19" s="2">
        <v>85381</v>
      </c>
      <c r="E19" s="2">
        <v>66192</v>
      </c>
      <c r="F19" s="2">
        <v>3249</v>
      </c>
      <c r="G19" s="3">
        <f t="shared" si="0"/>
        <v>3.8052962602921021E-2</v>
      </c>
      <c r="H19" s="4">
        <v>8102.63</v>
      </c>
      <c r="I19" s="2">
        <v>154</v>
      </c>
      <c r="J19" s="3">
        <f t="shared" si="1"/>
        <v>4.7399199753770389E-2</v>
      </c>
      <c r="K19" s="5">
        <f t="shared" si="2"/>
        <v>2.4938842720837182</v>
      </c>
      <c r="L19" s="6">
        <f t="shared" si="3"/>
        <v>21.807409446068746</v>
      </c>
    </row>
    <row r="20" spans="1:12" x14ac:dyDescent="0.3">
      <c r="A20" s="2" t="s">
        <v>42</v>
      </c>
      <c r="B20" s="2" t="s">
        <v>24</v>
      </c>
      <c r="C20" s="2" t="s">
        <v>29</v>
      </c>
      <c r="D20" s="2">
        <v>15425</v>
      </c>
      <c r="E20" s="2">
        <v>12897</v>
      </c>
      <c r="F20" s="2">
        <v>636</v>
      </c>
      <c r="G20" s="3">
        <f t="shared" si="0"/>
        <v>4.1231766612641815E-2</v>
      </c>
      <c r="H20" s="4">
        <v>6950.84</v>
      </c>
      <c r="I20" s="2">
        <v>38</v>
      </c>
      <c r="J20" s="3">
        <f t="shared" si="1"/>
        <v>5.9748427672955975E-2</v>
      </c>
      <c r="K20" s="5">
        <f t="shared" si="2"/>
        <v>10.928993710691824</v>
      </c>
      <c r="L20" s="6">
        <f t="shared" si="3"/>
        <v>5.5603581725374207</v>
      </c>
    </row>
    <row r="21" spans="1:12" x14ac:dyDescent="0.3">
      <c r="A21" s="2" t="s">
        <v>42</v>
      </c>
      <c r="B21" s="2" t="s">
        <v>24</v>
      </c>
      <c r="C21" s="2" t="s">
        <v>25</v>
      </c>
      <c r="D21" s="2">
        <v>28947</v>
      </c>
      <c r="E21" s="2">
        <v>23480</v>
      </c>
      <c r="F21" s="2">
        <v>693</v>
      </c>
      <c r="G21" s="3">
        <f t="shared" si="0"/>
        <v>2.3940304694787026E-2</v>
      </c>
      <c r="H21" s="4">
        <v>12584.24</v>
      </c>
      <c r="I21" s="2">
        <v>46</v>
      </c>
      <c r="J21" s="3">
        <f t="shared" si="1"/>
        <v>6.6378066378066383E-2</v>
      </c>
      <c r="K21" s="5">
        <f t="shared" si="2"/>
        <v>18.159076479076479</v>
      </c>
      <c r="L21" s="6">
        <f t="shared" si="3"/>
        <v>3.3864389108917186</v>
      </c>
    </row>
    <row r="22" spans="1:12" x14ac:dyDescent="0.3">
      <c r="A22" s="2" t="s">
        <v>43</v>
      </c>
      <c r="B22" s="2" t="s">
        <v>24</v>
      </c>
      <c r="C22" s="2" t="s">
        <v>29</v>
      </c>
      <c r="D22" s="2">
        <v>36174</v>
      </c>
      <c r="E22" s="2">
        <v>25749</v>
      </c>
      <c r="F22" s="2">
        <v>1387</v>
      </c>
      <c r="G22" s="3">
        <f t="shared" si="0"/>
        <v>3.8342455907557915E-2</v>
      </c>
      <c r="H22" s="4">
        <v>10955.31</v>
      </c>
      <c r="I22" s="2">
        <v>41</v>
      </c>
      <c r="J22" s="3">
        <f t="shared" si="1"/>
        <v>2.9560201874549386E-2</v>
      </c>
      <c r="K22" s="5">
        <f t="shared" si="2"/>
        <v>7.8985652487382838</v>
      </c>
      <c r="L22" s="6">
        <f t="shared" si="3"/>
        <v>3.4909728706901042</v>
      </c>
    </row>
    <row r="23" spans="1:12" x14ac:dyDescent="0.3">
      <c r="A23" s="2" t="s">
        <v>44</v>
      </c>
      <c r="B23" s="2" t="s">
        <v>30</v>
      </c>
      <c r="C23" s="2" t="s">
        <v>45</v>
      </c>
      <c r="D23" s="2">
        <v>17552</v>
      </c>
      <c r="E23" s="2">
        <v>10242</v>
      </c>
      <c r="F23" s="2">
        <v>454</v>
      </c>
      <c r="G23" s="3">
        <f t="shared" si="0"/>
        <v>2.5865998176845942E-2</v>
      </c>
      <c r="H23" s="4">
        <v>17779.82</v>
      </c>
      <c r="I23" s="2">
        <v>35</v>
      </c>
      <c r="J23" s="3">
        <f t="shared" si="1"/>
        <v>7.7092511013215861E-2</v>
      </c>
      <c r="K23" s="5">
        <f t="shared" si="2"/>
        <v>39.16259911894273</v>
      </c>
      <c r="L23" s="6">
        <f t="shared" si="3"/>
        <v>1.3622286389850966</v>
      </c>
    </row>
    <row r="24" spans="1:12" x14ac:dyDescent="0.3">
      <c r="A24" s="2" t="s">
        <v>46</v>
      </c>
      <c r="B24" s="2" t="s">
        <v>30</v>
      </c>
      <c r="C24" s="2" t="s">
        <v>33</v>
      </c>
      <c r="D24" s="2">
        <v>46571</v>
      </c>
      <c r="E24" s="2">
        <v>37880</v>
      </c>
      <c r="F24" s="2">
        <v>2021</v>
      </c>
      <c r="G24" s="3">
        <f t="shared" si="0"/>
        <v>4.3396104872130727E-2</v>
      </c>
      <c r="H24" s="4">
        <v>4284.8</v>
      </c>
      <c r="I24" s="2">
        <v>119</v>
      </c>
      <c r="J24" s="3">
        <f t="shared" si="1"/>
        <v>5.8881741712023754E-2</v>
      </c>
      <c r="K24" s="5">
        <f t="shared" si="2"/>
        <v>2.1201385452746164</v>
      </c>
      <c r="L24" s="6">
        <f t="shared" si="3"/>
        <v>32.327109783420461</v>
      </c>
    </row>
    <row r="25" spans="1:12" x14ac:dyDescent="0.3">
      <c r="A25" s="2" t="s">
        <v>47</v>
      </c>
      <c r="B25" s="2" t="s">
        <v>30</v>
      </c>
      <c r="C25" s="2" t="s">
        <v>31</v>
      </c>
      <c r="D25" s="2">
        <v>31483</v>
      </c>
      <c r="E25" s="2">
        <v>18528</v>
      </c>
      <c r="F25" s="2">
        <v>921</v>
      </c>
      <c r="G25" s="3">
        <f t="shared" si="0"/>
        <v>2.9253883047994155E-2</v>
      </c>
      <c r="H25" s="4">
        <v>11247.05</v>
      </c>
      <c r="I25" s="2">
        <v>42</v>
      </c>
      <c r="J25" s="3">
        <f t="shared" si="1"/>
        <v>4.5602605863192182E-2</v>
      </c>
      <c r="K25" s="5">
        <f t="shared" si="2"/>
        <v>12.211780673181323</v>
      </c>
      <c r="L25" s="6">
        <f t="shared" si="3"/>
        <v>3.481175063683366</v>
      </c>
    </row>
    <row r="26" spans="1:12" x14ac:dyDescent="0.3">
      <c r="A26" s="2" t="s">
        <v>48</v>
      </c>
      <c r="B26" s="2" t="s">
        <v>13</v>
      </c>
      <c r="C26" s="2" t="s">
        <v>16</v>
      </c>
      <c r="D26" s="2">
        <v>70461</v>
      </c>
      <c r="E26" s="2">
        <v>59138</v>
      </c>
      <c r="F26" s="2">
        <v>3020</v>
      </c>
      <c r="G26" s="3">
        <f t="shared" si="0"/>
        <v>4.286058954598998E-2</v>
      </c>
      <c r="H26" s="4">
        <v>14328.98</v>
      </c>
      <c r="I26" s="2">
        <v>215</v>
      </c>
      <c r="J26" s="3">
        <f t="shared" si="1"/>
        <v>7.1192052980132453E-2</v>
      </c>
      <c r="K26" s="5">
        <f t="shared" si="2"/>
        <v>4.7446953642384102</v>
      </c>
      <c r="L26" s="6">
        <f t="shared" si="3"/>
        <v>17.005468637683911</v>
      </c>
    </row>
    <row r="27" spans="1:12" x14ac:dyDescent="0.3">
      <c r="A27" s="2" t="s">
        <v>49</v>
      </c>
      <c r="B27" s="2" t="s">
        <v>13</v>
      </c>
      <c r="C27" s="2" t="s">
        <v>35</v>
      </c>
      <c r="D27" s="2">
        <v>67296</v>
      </c>
      <c r="E27" s="2">
        <v>57103</v>
      </c>
      <c r="F27" s="2">
        <v>2321</v>
      </c>
      <c r="G27" s="3">
        <f t="shared" si="0"/>
        <v>3.4489419876367097E-2</v>
      </c>
      <c r="H27" s="4">
        <v>9571.5</v>
      </c>
      <c r="I27" s="2">
        <v>141</v>
      </c>
      <c r="J27" s="3">
        <f t="shared" si="1"/>
        <v>6.0749676863420941E-2</v>
      </c>
      <c r="K27" s="5">
        <f t="shared" si="2"/>
        <v>4.1238690219732872</v>
      </c>
      <c r="L27" s="6">
        <f t="shared" si="3"/>
        <v>16.677480018805831</v>
      </c>
    </row>
    <row r="28" spans="1:12" x14ac:dyDescent="0.3">
      <c r="A28" s="2" t="s">
        <v>50</v>
      </c>
      <c r="B28" s="2" t="s">
        <v>13</v>
      </c>
      <c r="C28" s="2" t="s">
        <v>14</v>
      </c>
      <c r="D28" s="2">
        <v>44451</v>
      </c>
      <c r="E28" s="2">
        <v>25301</v>
      </c>
      <c r="F28" s="2">
        <v>694</v>
      </c>
      <c r="G28" s="3">
        <f t="shared" si="0"/>
        <v>1.5612697127173742E-2</v>
      </c>
      <c r="H28" s="4">
        <v>11308.82</v>
      </c>
      <c r="I28" s="2">
        <v>45</v>
      </c>
      <c r="J28" s="3">
        <f t="shared" si="1"/>
        <v>6.4841498559077809E-2</v>
      </c>
      <c r="K28" s="5">
        <f t="shared" si="2"/>
        <v>16.295129682997118</v>
      </c>
      <c r="L28" s="6">
        <f t="shared" si="3"/>
        <v>3.7750340000106113</v>
      </c>
    </row>
    <row r="29" spans="1:12" x14ac:dyDescent="0.3">
      <c r="A29" s="2" t="s">
        <v>51</v>
      </c>
      <c r="B29" s="2" t="s">
        <v>18</v>
      </c>
      <c r="C29" s="2" t="s">
        <v>22</v>
      </c>
      <c r="D29" s="2">
        <v>22716</v>
      </c>
      <c r="E29" s="2">
        <v>14053</v>
      </c>
      <c r="F29" s="2">
        <v>957</v>
      </c>
      <c r="G29" s="3">
        <f t="shared" si="0"/>
        <v>4.2128895932382462E-2</v>
      </c>
      <c r="H29" s="4">
        <v>15894.53</v>
      </c>
      <c r="I29" s="2">
        <v>32</v>
      </c>
      <c r="J29" s="3">
        <f t="shared" si="1"/>
        <v>3.343782654127482E-2</v>
      </c>
      <c r="K29" s="5">
        <f t="shared" si="2"/>
        <v>16.608704284221528</v>
      </c>
      <c r="L29" s="6">
        <f t="shared" si="3"/>
        <v>1.4159254787653364</v>
      </c>
    </row>
    <row r="30" spans="1:12" x14ac:dyDescent="0.3">
      <c r="A30" s="2" t="s">
        <v>52</v>
      </c>
      <c r="B30" s="2" t="s">
        <v>18</v>
      </c>
      <c r="C30" s="2" t="s">
        <v>19</v>
      </c>
      <c r="D30" s="2">
        <v>78624</v>
      </c>
      <c r="E30" s="2">
        <v>48296</v>
      </c>
      <c r="F30" s="2">
        <v>1491</v>
      </c>
      <c r="G30" s="3">
        <f t="shared" si="0"/>
        <v>1.8963675213675212E-2</v>
      </c>
      <c r="H30" s="4">
        <v>17032.71</v>
      </c>
      <c r="I30" s="2">
        <v>95</v>
      </c>
      <c r="J30" s="3">
        <f t="shared" si="1"/>
        <v>6.3715627095908792E-2</v>
      </c>
      <c r="K30" s="5">
        <f t="shared" si="2"/>
        <v>11.423682092555332</v>
      </c>
      <c r="L30" s="6">
        <f t="shared" si="3"/>
        <v>5.693004225399247</v>
      </c>
    </row>
    <row r="31" spans="1:12" x14ac:dyDescent="0.3">
      <c r="A31" s="2" t="s">
        <v>53</v>
      </c>
      <c r="B31" s="2" t="s">
        <v>18</v>
      </c>
      <c r="C31" s="2" t="s">
        <v>22</v>
      </c>
      <c r="D31" s="2">
        <v>76993</v>
      </c>
      <c r="E31" s="2">
        <v>60997</v>
      </c>
      <c r="F31" s="2">
        <v>1594</v>
      </c>
      <c r="G31" s="3">
        <f t="shared" si="0"/>
        <v>2.0703180808644941E-2</v>
      </c>
      <c r="H31" s="4">
        <v>4453.96</v>
      </c>
      <c r="I31" s="2">
        <v>89</v>
      </c>
      <c r="J31" s="3">
        <f t="shared" si="1"/>
        <v>5.5834378920953574E-2</v>
      </c>
      <c r="K31" s="5">
        <f t="shared" si="2"/>
        <v>2.794203262233375</v>
      </c>
      <c r="L31" s="6">
        <f t="shared" si="3"/>
        <v>22.978661685331705</v>
      </c>
    </row>
    <row r="32" spans="1:12" x14ac:dyDescent="0.3">
      <c r="A32" s="2" t="s">
        <v>54</v>
      </c>
      <c r="B32" s="2" t="s">
        <v>24</v>
      </c>
      <c r="C32" s="2" t="s">
        <v>29</v>
      </c>
      <c r="D32" s="2">
        <v>76213</v>
      </c>
      <c r="E32" s="2">
        <v>61667</v>
      </c>
      <c r="F32" s="2">
        <v>1267</v>
      </c>
      <c r="G32" s="3">
        <f t="shared" si="0"/>
        <v>1.6624460393896055E-2</v>
      </c>
      <c r="H32" s="4">
        <v>12801.83</v>
      </c>
      <c r="I32" s="2">
        <v>87</v>
      </c>
      <c r="J32" s="3">
        <f t="shared" si="1"/>
        <v>6.8666140489344912E-2</v>
      </c>
      <c r="K32" s="5">
        <f t="shared" si="2"/>
        <v>10.104048934490923</v>
      </c>
      <c r="L32" s="6">
        <f t="shared" si="3"/>
        <v>7.1550840778232487</v>
      </c>
    </row>
    <row r="33" spans="1:12" x14ac:dyDescent="0.3">
      <c r="A33" s="2" t="s">
        <v>55</v>
      </c>
      <c r="B33" s="2" t="s">
        <v>24</v>
      </c>
      <c r="C33" s="2" t="s">
        <v>29</v>
      </c>
      <c r="D33" s="2">
        <v>59473</v>
      </c>
      <c r="E33" s="2">
        <v>46994</v>
      </c>
      <c r="F33" s="2">
        <v>1087</v>
      </c>
      <c r="G33" s="3">
        <f t="shared" si="0"/>
        <v>1.8277201419131372E-2</v>
      </c>
      <c r="H33" s="4">
        <v>5873.85</v>
      </c>
      <c r="I33" s="2">
        <v>67</v>
      </c>
      <c r="J33" s="3">
        <f t="shared" si="1"/>
        <v>6.1637534498620056E-2</v>
      </c>
      <c r="K33" s="5">
        <f t="shared" si="2"/>
        <v>5.4037258509659614</v>
      </c>
      <c r="L33" s="6">
        <f t="shared" si="3"/>
        <v>12.687785694220995</v>
      </c>
    </row>
    <row r="34" spans="1:12" x14ac:dyDescent="0.3">
      <c r="A34" s="2" t="s">
        <v>56</v>
      </c>
      <c r="B34" s="2" t="s">
        <v>24</v>
      </c>
      <c r="C34" s="2" t="s">
        <v>29</v>
      </c>
      <c r="D34" s="2">
        <v>39050</v>
      </c>
      <c r="E34" s="2">
        <v>24740</v>
      </c>
      <c r="F34" s="2">
        <v>878</v>
      </c>
      <c r="G34" s="3">
        <f t="shared" si="0"/>
        <v>2.2483994878361075E-2</v>
      </c>
      <c r="H34" s="4">
        <v>16848.98</v>
      </c>
      <c r="I34" s="2">
        <v>49</v>
      </c>
      <c r="J34" s="3">
        <f t="shared" si="1"/>
        <v>5.5808656036446469E-2</v>
      </c>
      <c r="K34" s="5">
        <f t="shared" si="2"/>
        <v>19.190182232346242</v>
      </c>
      <c r="L34" s="6">
        <f t="shared" si="3"/>
        <v>2.4898254968550027</v>
      </c>
    </row>
    <row r="35" spans="1:12" x14ac:dyDescent="0.3">
      <c r="A35" s="2" t="s">
        <v>48</v>
      </c>
      <c r="B35" s="2" t="s">
        <v>30</v>
      </c>
      <c r="C35" s="2" t="s">
        <v>31</v>
      </c>
      <c r="D35" s="2">
        <v>27833</v>
      </c>
      <c r="E35" s="2">
        <v>15730</v>
      </c>
      <c r="F35" s="2">
        <v>1251</v>
      </c>
      <c r="G35" s="3">
        <f t="shared" si="0"/>
        <v>4.4946646067617578E-2</v>
      </c>
      <c r="H35" s="4">
        <v>15540.41</v>
      </c>
      <c r="I35" s="2">
        <v>110</v>
      </c>
      <c r="J35" s="3">
        <f t="shared" si="1"/>
        <v>8.792965627498002E-2</v>
      </c>
      <c r="K35" s="5">
        <f t="shared" si="2"/>
        <v>12.422390087929656</v>
      </c>
      <c r="L35" s="6">
        <f t="shared" si="3"/>
        <v>7.4939843929471612</v>
      </c>
    </row>
    <row r="36" spans="1:12" x14ac:dyDescent="0.3">
      <c r="A36" s="2" t="s">
        <v>57</v>
      </c>
      <c r="B36" s="2" t="s">
        <v>30</v>
      </c>
      <c r="C36" s="2" t="s">
        <v>33</v>
      </c>
      <c r="D36" s="2">
        <v>36798</v>
      </c>
      <c r="E36" s="2">
        <v>24725</v>
      </c>
      <c r="F36" s="2">
        <v>1083</v>
      </c>
      <c r="G36" s="3">
        <f t="shared" si="0"/>
        <v>2.9430947334094244E-2</v>
      </c>
      <c r="H36" s="4">
        <v>15969.76</v>
      </c>
      <c r="I36" s="2">
        <v>91</v>
      </c>
      <c r="J36" s="3">
        <f t="shared" si="1"/>
        <v>8.4025854108956605E-2</v>
      </c>
      <c r="K36" s="5">
        <f t="shared" si="2"/>
        <v>14.745854108956602</v>
      </c>
      <c r="L36" s="6">
        <f t="shared" si="3"/>
        <v>5.8379236757471622</v>
      </c>
    </row>
    <row r="37" spans="1:12" x14ac:dyDescent="0.3">
      <c r="A37" s="2" t="s">
        <v>58</v>
      </c>
      <c r="B37" s="2" t="s">
        <v>30</v>
      </c>
      <c r="C37" s="2" t="s">
        <v>45</v>
      </c>
      <c r="D37" s="2">
        <v>15282</v>
      </c>
      <c r="E37" s="2">
        <v>12922</v>
      </c>
      <c r="F37" s="2">
        <v>350</v>
      </c>
      <c r="G37" s="3">
        <f t="shared" si="0"/>
        <v>2.290276141866248E-2</v>
      </c>
      <c r="H37" s="4">
        <v>14761.06</v>
      </c>
      <c r="I37" s="2">
        <v>20</v>
      </c>
      <c r="J37" s="3">
        <f t="shared" si="1"/>
        <v>5.7142857142857141E-2</v>
      </c>
      <c r="K37" s="5">
        <f t="shared" si="2"/>
        <v>42.174457142857143</v>
      </c>
      <c r="L37" s="6">
        <f t="shared" si="3"/>
        <v>0.62589949502271525</v>
      </c>
    </row>
    <row r="40" spans="1:12" x14ac:dyDescent="0.3">
      <c r="A4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2941-241E-4C35-9444-BE32D09F495A}">
  <dimension ref="A2:O29"/>
  <sheetViews>
    <sheetView zoomScale="70" zoomScaleNormal="70" workbookViewId="0">
      <selection activeCell="E14" sqref="E14"/>
    </sheetView>
  </sheetViews>
  <sheetFormatPr defaultRowHeight="14.4" x14ac:dyDescent="0.3"/>
  <cols>
    <col min="1" max="1" width="29.109375" bestFit="1" customWidth="1"/>
    <col min="2" max="2" width="13.21875" bestFit="1" customWidth="1"/>
    <col min="3" max="3" width="17.88671875" bestFit="1" customWidth="1"/>
    <col min="4" max="4" width="14" bestFit="1" customWidth="1"/>
    <col min="5" max="5" width="15.6640625" bestFit="1" customWidth="1"/>
    <col min="6" max="6" width="24.109375" bestFit="1" customWidth="1"/>
    <col min="7" max="7" width="20.5546875" bestFit="1" customWidth="1"/>
    <col min="8" max="8" width="17.88671875" bestFit="1" customWidth="1"/>
    <col min="9" max="9" width="16.77734375" bestFit="1" customWidth="1"/>
    <col min="10" max="10" width="16.33203125" customWidth="1"/>
    <col min="11" max="11" width="13.109375" bestFit="1" customWidth="1"/>
    <col min="12" max="12" width="14" bestFit="1" customWidth="1"/>
    <col min="13" max="13" width="20" bestFit="1" customWidth="1"/>
    <col min="14" max="14" width="15.6640625" bestFit="1" customWidth="1"/>
    <col min="15" max="15" width="16.5546875" bestFit="1" customWidth="1"/>
    <col min="16" max="24" width="17.88671875" bestFit="1" customWidth="1"/>
    <col min="25" max="25" width="22.44140625" bestFit="1" customWidth="1"/>
    <col min="26" max="26" width="17.44140625" bestFit="1" customWidth="1"/>
    <col min="27" max="27" width="16.88671875" bestFit="1" customWidth="1"/>
    <col min="28" max="28" width="22.6640625" bestFit="1" customWidth="1"/>
    <col min="29" max="29" width="18" bestFit="1" customWidth="1"/>
    <col min="30" max="37" width="15.5546875" bestFit="1" customWidth="1"/>
    <col min="38" max="39" width="10.77734375" bestFit="1" customWidth="1"/>
  </cols>
  <sheetData>
    <row r="2" spans="1:15" ht="18" x14ac:dyDescent="0.35">
      <c r="D2" s="24" t="s">
        <v>69</v>
      </c>
      <c r="E2" s="24"/>
      <c r="F2" s="24"/>
      <c r="G2" s="24"/>
      <c r="H2" s="24"/>
      <c r="I2" s="24"/>
      <c r="J2" s="18"/>
      <c r="K2" s="25" t="s">
        <v>73</v>
      </c>
      <c r="L2" s="25"/>
      <c r="M2" s="25"/>
      <c r="N2" s="25"/>
      <c r="O2" s="25"/>
    </row>
    <row r="3" spans="1:15" x14ac:dyDescent="0.3">
      <c r="A3" s="9" t="s">
        <v>67</v>
      </c>
      <c r="D3" s="9" t="s">
        <v>61</v>
      </c>
      <c r="E3" t="s">
        <v>59</v>
      </c>
      <c r="F3" t="s">
        <v>62</v>
      </c>
      <c r="G3" t="s">
        <v>63</v>
      </c>
      <c r="H3" t="s">
        <v>65</v>
      </c>
      <c r="I3" t="s">
        <v>68</v>
      </c>
      <c r="J3" s="19"/>
      <c r="K3" s="9" t="s">
        <v>61</v>
      </c>
      <c r="L3" t="s">
        <v>70</v>
      </c>
      <c r="M3" t="s">
        <v>72</v>
      </c>
      <c r="N3" t="s">
        <v>66</v>
      </c>
      <c r="O3" t="s">
        <v>68</v>
      </c>
    </row>
    <row r="4" spans="1:15" x14ac:dyDescent="0.3">
      <c r="A4" s="10" t="s">
        <v>59</v>
      </c>
      <c r="B4">
        <v>1744701</v>
      </c>
      <c r="D4" s="10" t="s">
        <v>18</v>
      </c>
      <c r="E4" s="15">
        <v>494559</v>
      </c>
      <c r="F4" s="14">
        <v>351712</v>
      </c>
      <c r="G4" s="15">
        <v>16162</v>
      </c>
      <c r="H4">
        <v>774</v>
      </c>
      <c r="I4" s="16">
        <v>10.407658787278628</v>
      </c>
      <c r="J4" s="20"/>
      <c r="K4" s="10" t="s">
        <v>18</v>
      </c>
      <c r="L4" s="21">
        <v>0.28453888359085661</v>
      </c>
      <c r="M4" s="17">
        <v>0.43668640538312453</v>
      </c>
      <c r="N4" s="12">
        <v>108.29911748243605</v>
      </c>
      <c r="O4" s="13">
        <v>10.407658787278628</v>
      </c>
    </row>
    <row r="5" spans="1:15" x14ac:dyDescent="0.3">
      <c r="A5" s="10" t="s">
        <v>62</v>
      </c>
      <c r="B5">
        <v>1241452</v>
      </c>
      <c r="D5" s="10" t="s">
        <v>24</v>
      </c>
      <c r="E5">
        <v>424760</v>
      </c>
      <c r="F5">
        <v>315247</v>
      </c>
      <c r="G5">
        <v>10819</v>
      </c>
      <c r="H5">
        <v>619</v>
      </c>
      <c r="I5" s="13">
        <v>9.1382099246449595</v>
      </c>
      <c r="J5" s="13"/>
      <c r="K5" s="10" t="s">
        <v>24</v>
      </c>
      <c r="L5" s="17">
        <v>0.2464103311620375</v>
      </c>
      <c r="M5" s="17">
        <v>0.53371350152093655</v>
      </c>
      <c r="N5" s="12">
        <v>93.522172906619659</v>
      </c>
      <c r="O5" s="13">
        <v>9.1382099246449595</v>
      </c>
    </row>
    <row r="6" spans="1:15" x14ac:dyDescent="0.3">
      <c r="A6" s="10" t="s">
        <v>63</v>
      </c>
      <c r="B6">
        <v>52380</v>
      </c>
      <c r="D6" s="10" t="s">
        <v>13</v>
      </c>
      <c r="E6">
        <v>468085</v>
      </c>
      <c r="F6">
        <v>335912</v>
      </c>
      <c r="G6">
        <v>15350</v>
      </c>
      <c r="H6" s="15">
        <v>812</v>
      </c>
      <c r="I6" s="13">
        <v>8.5180002678029982</v>
      </c>
      <c r="J6" s="13"/>
      <c r="K6" s="10" t="s">
        <v>13</v>
      </c>
      <c r="L6" s="17">
        <v>0.26866462020798831</v>
      </c>
      <c r="M6" s="17">
        <v>0.46528893449488773</v>
      </c>
      <c r="N6" s="12">
        <v>79.718413864443534</v>
      </c>
      <c r="O6" s="13">
        <v>8.5180002678029982</v>
      </c>
    </row>
    <row r="7" spans="1:15" x14ac:dyDescent="0.3">
      <c r="A7" s="10" t="s">
        <v>65</v>
      </c>
      <c r="B7">
        <v>2793</v>
      </c>
      <c r="D7" s="10" t="s">
        <v>30</v>
      </c>
      <c r="E7">
        <v>357297</v>
      </c>
      <c r="F7">
        <v>238581</v>
      </c>
      <c r="G7">
        <v>10049</v>
      </c>
      <c r="H7">
        <v>588</v>
      </c>
      <c r="I7" s="13">
        <v>7.0056846154523793</v>
      </c>
      <c r="J7" s="13"/>
      <c r="K7" s="10" t="s">
        <v>30</v>
      </c>
      <c r="L7" s="17">
        <v>0.25984208761751371</v>
      </c>
      <c r="M7" s="21">
        <v>0.5529588637081938</v>
      </c>
      <c r="N7" s="22">
        <v>158.84210195092479</v>
      </c>
      <c r="O7" s="23">
        <v>7.0056846154523793</v>
      </c>
    </row>
    <row r="8" spans="1:15" x14ac:dyDescent="0.3">
      <c r="A8" s="10" t="s">
        <v>66</v>
      </c>
      <c r="B8" s="12">
        <v>440.38180620442409</v>
      </c>
      <c r="D8" s="10" t="s">
        <v>60</v>
      </c>
      <c r="E8">
        <v>1744701</v>
      </c>
      <c r="F8">
        <v>1241452</v>
      </c>
      <c r="G8">
        <v>52380</v>
      </c>
      <c r="H8">
        <v>2793</v>
      </c>
      <c r="I8" s="13">
        <v>8.7673883987947399</v>
      </c>
      <c r="J8" s="13"/>
      <c r="K8" s="10" t="s">
        <v>60</v>
      </c>
      <c r="L8" s="17">
        <v>1.0594559225783964</v>
      </c>
      <c r="M8" s="17">
        <v>1.9886477051071432</v>
      </c>
      <c r="N8" s="12">
        <v>440.38180620442409</v>
      </c>
      <c r="O8" s="13">
        <v>8.7673883987947399</v>
      </c>
    </row>
    <row r="9" spans="1:15" x14ac:dyDescent="0.3">
      <c r="A9" s="10" t="s">
        <v>64</v>
      </c>
      <c r="B9" s="11">
        <v>419197.74999999994</v>
      </c>
    </row>
    <row r="10" spans="1:15" x14ac:dyDescent="0.3">
      <c r="A10" s="10" t="s">
        <v>68</v>
      </c>
      <c r="B10" s="13">
        <v>8.7673883987947434</v>
      </c>
    </row>
    <row r="15" spans="1:15" ht="18" x14ac:dyDescent="0.35">
      <c r="A15" s="26" t="s">
        <v>74</v>
      </c>
      <c r="B15" s="26"/>
      <c r="C15" s="26"/>
      <c r="D15" s="26"/>
      <c r="F15" s="19"/>
      <c r="G15" s="19"/>
      <c r="H15" s="19"/>
      <c r="I15" s="19"/>
    </row>
    <row r="16" spans="1:15" x14ac:dyDescent="0.3">
      <c r="A16" s="9" t="s">
        <v>61</v>
      </c>
      <c r="B16" t="s">
        <v>71</v>
      </c>
      <c r="C16" t="s">
        <v>65</v>
      </c>
      <c r="D16" t="s">
        <v>70</v>
      </c>
    </row>
    <row r="17" spans="1:4" x14ac:dyDescent="0.3">
      <c r="A17" s="10" t="s">
        <v>33</v>
      </c>
      <c r="B17" s="13">
        <v>41.549044038288237</v>
      </c>
      <c r="C17">
        <v>271</v>
      </c>
      <c r="D17" s="17">
        <v>8.981109749701241E-2</v>
      </c>
    </row>
    <row r="18" spans="1:4" x14ac:dyDescent="0.3">
      <c r="A18" s="10" t="s">
        <v>40</v>
      </c>
      <c r="B18" s="13">
        <v>6.7678689266388883</v>
      </c>
      <c r="C18">
        <v>103</v>
      </c>
      <c r="D18" s="17">
        <v>4.4126892649447268E-2</v>
      </c>
    </row>
    <row r="19" spans="1:4" x14ac:dyDescent="0.3">
      <c r="A19" s="10" t="s">
        <v>25</v>
      </c>
      <c r="B19" s="13">
        <v>34.279088685663439</v>
      </c>
      <c r="C19">
        <v>144</v>
      </c>
      <c r="D19" s="17">
        <v>6.00620995665819E-2</v>
      </c>
    </row>
    <row r="20" spans="1:4" x14ac:dyDescent="0.3">
      <c r="A20" s="10" t="s">
        <v>16</v>
      </c>
      <c r="B20" s="13">
        <v>20.908508749545863</v>
      </c>
      <c r="C20">
        <v>233</v>
      </c>
      <c r="D20" s="17">
        <v>5.8810580074499172E-2</v>
      </c>
    </row>
    <row r="21" spans="1:4" x14ac:dyDescent="0.3">
      <c r="A21" s="10" t="s">
        <v>22</v>
      </c>
      <c r="B21" s="13">
        <v>78.888891275340399</v>
      </c>
      <c r="C21">
        <v>529</v>
      </c>
      <c r="D21" s="17">
        <v>0.18381208384729533</v>
      </c>
    </row>
    <row r="22" spans="1:4" x14ac:dyDescent="0.3">
      <c r="A22" s="10" t="s">
        <v>14</v>
      </c>
      <c r="B22" s="13">
        <v>25.17628272190041</v>
      </c>
      <c r="C22">
        <v>273</v>
      </c>
      <c r="D22" s="17">
        <v>0.1035972913389612</v>
      </c>
    </row>
    <row r="23" spans="1:4" x14ac:dyDescent="0.3">
      <c r="A23" s="10" t="s">
        <v>19</v>
      </c>
      <c r="B23" s="13">
        <v>8.0121688835283749</v>
      </c>
      <c r="C23">
        <v>142</v>
      </c>
      <c r="D23" s="17">
        <v>5.6599907094114055E-2</v>
      </c>
    </row>
    <row r="24" spans="1:4" x14ac:dyDescent="0.3">
      <c r="A24" s="10" t="s">
        <v>27</v>
      </c>
      <c r="B24" s="13">
        <v>10.75372277742918</v>
      </c>
      <c r="C24">
        <v>96</v>
      </c>
      <c r="D24" s="17">
        <v>2.6388644753032167E-2</v>
      </c>
    </row>
    <row r="25" spans="1:4" x14ac:dyDescent="0.3">
      <c r="A25" s="10" t="s">
        <v>29</v>
      </c>
      <c r="B25" s="13">
        <v>37.211077858712017</v>
      </c>
      <c r="C25">
        <v>379</v>
      </c>
      <c r="D25" s="17">
        <v>0.15995958684242342</v>
      </c>
    </row>
    <row r="26" spans="1:4" x14ac:dyDescent="0.3">
      <c r="A26" s="10" t="s">
        <v>31</v>
      </c>
      <c r="B26" s="13">
        <v>19.51398936677537</v>
      </c>
      <c r="C26">
        <v>262</v>
      </c>
      <c r="D26" s="17">
        <v>0.12126223052499288</v>
      </c>
    </row>
    <row r="27" spans="1:4" x14ac:dyDescent="0.3">
      <c r="A27" s="10" t="s">
        <v>35</v>
      </c>
      <c r="B27" s="13">
        <v>30.577210938780723</v>
      </c>
      <c r="C27">
        <v>306</v>
      </c>
      <c r="D27" s="17">
        <v>0.10625674879452794</v>
      </c>
    </row>
    <row r="28" spans="1:4" x14ac:dyDescent="0.3">
      <c r="A28" s="10" t="s">
        <v>45</v>
      </c>
      <c r="B28" s="13">
        <v>1.9881281340078119</v>
      </c>
      <c r="C28">
        <v>55</v>
      </c>
      <c r="D28" s="17">
        <v>4.8768759595508422E-2</v>
      </c>
    </row>
    <row r="29" spans="1:4" x14ac:dyDescent="0.3">
      <c r="A29" s="10" t="s">
        <v>60</v>
      </c>
      <c r="B29" s="13">
        <v>315.62598235661068</v>
      </c>
      <c r="C29">
        <v>2793</v>
      </c>
      <c r="D29" s="17">
        <v>1.0594559225783962</v>
      </c>
    </row>
  </sheetData>
  <sortState xmlns:xlrd2="http://schemas.microsoft.com/office/spreadsheetml/2017/richdata2" columnSort="1" ref="F16:I29">
    <sortCondition descending="1" ref="H16"/>
  </sortState>
  <mergeCells count="3">
    <mergeCell ref="D2:I2"/>
    <mergeCell ref="K2:O2"/>
    <mergeCell ref="A15:D15"/>
  </mergeCells>
  <conditionalFormatting pivot="1" sqref="B17:B28">
    <cfRule type="top10" dxfId="12" priority="13" rank="5"/>
  </conditionalFormatting>
  <conditionalFormatting pivot="1" sqref="C17:C28">
    <cfRule type="top10" dxfId="11" priority="12" rank="5"/>
  </conditionalFormatting>
  <conditionalFormatting pivot="1" sqref="D17:D28">
    <cfRule type="top10" dxfId="10" priority="11" rank="5"/>
  </conditionalFormatting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Data</vt:lpstr>
      <vt:lpstr>Important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Shaishta Naj</cp:lastModifiedBy>
  <cp:revision>1</cp:revision>
  <dcterms:created xsi:type="dcterms:W3CDTF">2026-08-19T16:21:03Z</dcterms:created>
  <dcterms:modified xsi:type="dcterms:W3CDTF">2026-09-01T13:17:17Z</dcterms:modified>
  <dc:language>en-US</dc:language>
</cp:coreProperties>
</file>